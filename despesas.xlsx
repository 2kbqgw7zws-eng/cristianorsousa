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osousa/Desktop/"/>
    </mc:Choice>
  </mc:AlternateContent>
  <xr:revisionPtr revIDLastSave="0" documentId="8_{96F171C1-B8FB-DD48-9C2B-B08D5CEB6FB8}" xr6:coauthVersionLast="47" xr6:coauthVersionMax="47" xr10:uidLastSave="{00000000-0000-0000-0000-000000000000}"/>
  <bookViews>
    <workbookView xWindow="1400" yWindow="1380" windowWidth="27840" windowHeight="16740" xr2:uid="{C385C0D3-CB21-C747-9DD2-85277A6FE7E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D34" i="1"/>
  <c r="D29" i="1"/>
  <c r="D23" i="1"/>
</calcChain>
</file>

<file path=xl/sharedStrings.xml><?xml version="1.0" encoding="utf-8"?>
<sst xmlns="http://schemas.openxmlformats.org/spreadsheetml/2006/main" count="230" uniqueCount="86">
  <si>
    <t>DATA</t>
  </si>
  <si>
    <t>DESCRIÇÃO</t>
  </si>
  <si>
    <t>VALOR</t>
  </si>
  <si>
    <t>INVEST/CUSTEIO</t>
  </si>
  <si>
    <t>Difusor banheiro</t>
  </si>
  <si>
    <t>Assaí</t>
  </si>
  <si>
    <t>Custeio</t>
  </si>
  <si>
    <t>Cadeiras - 6</t>
  </si>
  <si>
    <t>Kabum</t>
  </si>
  <si>
    <t>Investimento</t>
  </si>
  <si>
    <t>Cadeiras - 3</t>
  </si>
  <si>
    <t>Mercado Livre</t>
  </si>
  <si>
    <t>Mesa Centro Auxiliar</t>
  </si>
  <si>
    <t>Cafeteira</t>
  </si>
  <si>
    <t>Vaso P decoração</t>
  </si>
  <si>
    <t>Quadro Balança Jud.</t>
  </si>
  <si>
    <t>Moveis</t>
  </si>
  <si>
    <t>Mobpro</t>
  </si>
  <si>
    <t>Café em grãos</t>
  </si>
  <si>
    <t>Monitor Samsung</t>
  </si>
  <si>
    <t>Rodameio</t>
  </si>
  <si>
    <t>Prod. Banheiro</t>
  </si>
  <si>
    <t>Planta artificial</t>
  </si>
  <si>
    <t>Amazon</t>
  </si>
  <si>
    <t>Gesseiro</t>
  </si>
  <si>
    <t>Instalação porta 80cm</t>
  </si>
  <si>
    <t>Prod. Para pintura, vaso e porta objetos</t>
  </si>
  <si>
    <t>Lele da Cuca</t>
  </si>
  <si>
    <t>Quadro Mapa</t>
  </si>
  <si>
    <t>Lixeiras - 4</t>
  </si>
  <si>
    <t>Manutenção Ar. Cond.</t>
  </si>
  <si>
    <t>Tintas</t>
  </si>
  <si>
    <t>Renacor</t>
  </si>
  <si>
    <t>Porta 80cm</t>
  </si>
  <si>
    <t>Goias Forte Acabam.</t>
  </si>
  <si>
    <t>Massaneta das portas</t>
  </si>
  <si>
    <t>Madecom</t>
  </si>
  <si>
    <t>Limpeza</t>
  </si>
  <si>
    <t>Espuma expansiva</t>
  </si>
  <si>
    <t>Ferpam</t>
  </si>
  <si>
    <t>Impressora brother</t>
  </si>
  <si>
    <t>Transformador 110v Impressora</t>
  </si>
  <si>
    <t>Tintas portas</t>
  </si>
  <si>
    <t>Varão Cortina</t>
  </si>
  <si>
    <t>Havan</t>
  </si>
  <si>
    <t>Decoração</t>
  </si>
  <si>
    <t>Pintor</t>
  </si>
  <si>
    <t>Água, diversos</t>
  </si>
  <si>
    <t>Big</t>
  </si>
  <si>
    <t>Geladeira</t>
  </si>
  <si>
    <t>Compra Certa</t>
  </si>
  <si>
    <t>Tomadas</t>
  </si>
  <si>
    <t>Encanel</t>
  </si>
  <si>
    <t>Adaptador HDMI</t>
  </si>
  <si>
    <t>Prod. Limpeza</t>
  </si>
  <si>
    <t>Quarteto</t>
  </si>
  <si>
    <t>Porta 70cm</t>
  </si>
  <si>
    <t>Espelho banheiro</t>
  </si>
  <si>
    <t>Aluguel</t>
  </si>
  <si>
    <t>Cecilia</t>
  </si>
  <si>
    <t>Aparador geladeira</t>
  </si>
  <si>
    <t>Eudivan</t>
  </si>
  <si>
    <t>Logo parede</t>
  </si>
  <si>
    <t>Tocantins Acrilicos</t>
  </si>
  <si>
    <t>Mouse sem fio</t>
  </si>
  <si>
    <t>Pointcom</t>
  </si>
  <si>
    <t>Água 500ml - 12</t>
  </si>
  <si>
    <t>Água</t>
  </si>
  <si>
    <t>Atacadão</t>
  </si>
  <si>
    <t>Tinta parede</t>
  </si>
  <si>
    <t>Puxador portas</t>
  </si>
  <si>
    <t>Instalação porta 70cm</t>
  </si>
  <si>
    <t>Pintura porta 70cm</t>
  </si>
  <si>
    <t>Lampadas</t>
  </si>
  <si>
    <t>Meurer</t>
  </si>
  <si>
    <t>Troca de reator e lampadas</t>
  </si>
  <si>
    <t>Eletricista</t>
  </si>
  <si>
    <t>PointCom</t>
  </si>
  <si>
    <t>Apresentador de Slides</t>
  </si>
  <si>
    <t>Água Mineral</t>
  </si>
  <si>
    <t>Água e diversos</t>
  </si>
  <si>
    <t xml:space="preserve">Placa </t>
  </si>
  <si>
    <t>Apce Midia</t>
  </si>
  <si>
    <t>Internet</t>
  </si>
  <si>
    <t>VIVO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</si>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</sst>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44" fontId="0" fillId="0" borderId="1" xfId="1" applyFont="1" applyBorder="1"/>
    <xf numFmtId="14" fontId="0" fillId="0" borderId="1" xfId="1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4919-6524-514F-98EB-21D3D767D0C0}">
  <dimension ref="A1:E81"/>
  <sheetViews>
    <sheetView tabSelected="1" workbookViewId="0">
      <selection activeCell="C1" sqref="C1"/>
    </sheetView>
  </sheetViews>
  <sheetFormatPr baseColWidth="10" defaultRowHeight="16" x14ac:dyDescent="0.2"/>
  <cols>
    <col min="1" max="1" width="10.5" bestFit="1" customWidth="1"/>
    <col min="2" max="2" width="33" bestFit="1" customWidth="1"/>
    <col min="3" max="3" width="19.6640625" bestFit="1" customWidth="1"/>
    <col min="4" max="4" width="13" bestFit="1" customWidth="1"/>
    <col min="5" max="5" width="16.33203125" bestFit="1" customWidth="1"/>
  </cols>
  <sheetData>
    <row r="1" spans="1:5" x14ac:dyDescent="0.2">
      <c r="A1" s="1" t="s">
        <v>0</v>
      </c>
      <c r="B1" s="1" t="s">
        <v>1</v>
      </c>
      <c r="C1" s="1" t="s">
        <v>85</v>
      </c>
      <c r="D1" s="2" t="s">
        <v>2</v>
      </c>
      <c r="E1" s="2" t="s">
        <v>3</v>
      </c>
    </row>
    <row r="2" spans="1:5" x14ac:dyDescent="0.2">
      <c r="A2" s="3">
        <v>45331</v>
      </c>
      <c r="B2" s="4" t="s">
        <v>4</v>
      </c>
      <c r="C2" s="4" t="s">
        <v>5</v>
      </c>
      <c r="D2" s="5">
        <v>49.9</v>
      </c>
      <c r="E2" s="5" t="s">
        <v>6</v>
      </c>
    </row>
    <row r="3" spans="1:5" x14ac:dyDescent="0.2">
      <c r="A3" s="6">
        <v>45637</v>
      </c>
      <c r="B3" s="4" t="s">
        <v>7</v>
      </c>
      <c r="C3" s="4" t="s">
        <v>8</v>
      </c>
      <c r="D3" s="5">
        <v>2706.39</v>
      </c>
      <c r="E3" s="5" t="s">
        <v>9</v>
      </c>
    </row>
    <row r="4" spans="1:5" x14ac:dyDescent="0.2">
      <c r="A4" s="3">
        <v>45637</v>
      </c>
      <c r="B4" s="4" t="s">
        <v>10</v>
      </c>
      <c r="C4" s="4" t="s">
        <v>11</v>
      </c>
      <c r="D4" s="5">
        <v>1712.93</v>
      </c>
      <c r="E4" s="5" t="s">
        <v>9</v>
      </c>
    </row>
    <row r="5" spans="1:5" x14ac:dyDescent="0.2">
      <c r="A5" s="3">
        <v>45643</v>
      </c>
      <c r="B5" s="4" t="s">
        <v>12</v>
      </c>
      <c r="C5" s="4" t="s">
        <v>11</v>
      </c>
      <c r="D5" s="5">
        <v>239.39</v>
      </c>
      <c r="E5" s="5" t="s">
        <v>9</v>
      </c>
    </row>
    <row r="6" spans="1:5" x14ac:dyDescent="0.2">
      <c r="A6" s="3">
        <v>45643</v>
      </c>
      <c r="B6" s="4" t="s">
        <v>13</v>
      </c>
      <c r="C6" s="4" t="s">
        <v>11</v>
      </c>
      <c r="D6" s="5">
        <v>2899</v>
      </c>
      <c r="E6" s="5" t="s">
        <v>9</v>
      </c>
    </row>
    <row r="7" spans="1:5" x14ac:dyDescent="0.2">
      <c r="A7" s="3">
        <v>45644</v>
      </c>
      <c r="B7" s="4" t="s">
        <v>14</v>
      </c>
      <c r="C7" s="4" t="s">
        <v>11</v>
      </c>
      <c r="D7" s="5">
        <v>71.010000000000005</v>
      </c>
      <c r="E7" s="5" t="s">
        <v>9</v>
      </c>
    </row>
    <row r="8" spans="1:5" x14ac:dyDescent="0.2">
      <c r="A8" s="3">
        <v>45644</v>
      </c>
      <c r="B8" s="4" t="s">
        <v>15</v>
      </c>
      <c r="C8" s="4" t="s">
        <v>11</v>
      </c>
      <c r="D8" s="5">
        <v>238.34</v>
      </c>
      <c r="E8" s="5" t="s">
        <v>9</v>
      </c>
    </row>
    <row r="9" spans="1:5" x14ac:dyDescent="0.2">
      <c r="A9" s="3">
        <v>45644</v>
      </c>
      <c r="B9" s="4" t="s">
        <v>16</v>
      </c>
      <c r="C9" s="4" t="s">
        <v>17</v>
      </c>
      <c r="D9" s="5">
        <v>11000.03</v>
      </c>
      <c r="E9" s="5" t="s">
        <v>9</v>
      </c>
    </row>
    <row r="10" spans="1:5" x14ac:dyDescent="0.2">
      <c r="A10" s="3">
        <v>45644</v>
      </c>
      <c r="B10" s="4" t="s">
        <v>18</v>
      </c>
      <c r="C10" s="4" t="s">
        <v>5</v>
      </c>
      <c r="D10" s="5">
        <v>62.9</v>
      </c>
      <c r="E10" s="5" t="s">
        <v>6</v>
      </c>
    </row>
    <row r="11" spans="1:5" x14ac:dyDescent="0.2">
      <c r="A11" s="3">
        <v>45646</v>
      </c>
      <c r="B11" s="4" t="s">
        <v>19</v>
      </c>
      <c r="C11" s="4" t="s">
        <v>11</v>
      </c>
      <c r="D11" s="5">
        <v>921.97</v>
      </c>
      <c r="E11" s="5" t="s">
        <v>9</v>
      </c>
    </row>
    <row r="12" spans="1:5" x14ac:dyDescent="0.2">
      <c r="A12" s="6">
        <v>45650</v>
      </c>
      <c r="B12" s="4" t="s">
        <v>20</v>
      </c>
      <c r="C12" s="4" t="s">
        <v>11</v>
      </c>
      <c r="D12" s="5">
        <v>278</v>
      </c>
      <c r="E12" s="5" t="s">
        <v>6</v>
      </c>
    </row>
    <row r="13" spans="1:5" x14ac:dyDescent="0.2">
      <c r="A13" s="3">
        <v>45655</v>
      </c>
      <c r="B13" s="4" t="s">
        <v>21</v>
      </c>
      <c r="C13" s="4" t="s">
        <v>5</v>
      </c>
      <c r="D13" s="5">
        <v>231.61</v>
      </c>
      <c r="E13" s="5" t="s">
        <v>6</v>
      </c>
    </row>
    <row r="14" spans="1:5" x14ac:dyDescent="0.2">
      <c r="A14" s="3">
        <v>45656</v>
      </c>
      <c r="B14" s="4" t="s">
        <v>22</v>
      </c>
      <c r="C14" s="4" t="s">
        <v>23</v>
      </c>
      <c r="D14" s="5">
        <v>129.88999999999999</v>
      </c>
      <c r="E14" s="5" t="s">
        <v>9</v>
      </c>
    </row>
    <row r="15" spans="1:5" x14ac:dyDescent="0.2">
      <c r="A15" s="3">
        <v>45656</v>
      </c>
      <c r="B15" s="4" t="s">
        <v>24</v>
      </c>
      <c r="C15" s="4"/>
      <c r="D15" s="5">
        <v>2650</v>
      </c>
      <c r="E15" s="5" t="s">
        <v>6</v>
      </c>
    </row>
    <row r="16" spans="1:5" x14ac:dyDescent="0.2">
      <c r="A16" s="3">
        <v>45656</v>
      </c>
      <c r="B16" s="4" t="s">
        <v>25</v>
      </c>
      <c r="C16" s="4"/>
      <c r="D16" s="5">
        <v>150</v>
      </c>
      <c r="E16" s="5" t="s">
        <v>6</v>
      </c>
    </row>
    <row r="17" spans="1:5" x14ac:dyDescent="0.2">
      <c r="A17" s="3">
        <v>45656</v>
      </c>
      <c r="B17" s="4" t="s">
        <v>26</v>
      </c>
      <c r="C17" s="4" t="s">
        <v>27</v>
      </c>
      <c r="D17" s="5">
        <v>236.9</v>
      </c>
      <c r="E17" s="5" t="s">
        <v>9</v>
      </c>
    </row>
    <row r="18" spans="1:5" x14ac:dyDescent="0.2">
      <c r="A18" s="6">
        <v>45657</v>
      </c>
      <c r="B18" s="4" t="s">
        <v>28</v>
      </c>
      <c r="C18" s="4" t="s">
        <v>11</v>
      </c>
      <c r="D18" s="5">
        <v>199.92</v>
      </c>
      <c r="E18" s="5" t="s">
        <v>9</v>
      </c>
    </row>
    <row r="19" spans="1:5" x14ac:dyDescent="0.2">
      <c r="A19" s="3">
        <v>45657</v>
      </c>
      <c r="B19" s="4" t="s">
        <v>29</v>
      </c>
      <c r="C19" s="4" t="s">
        <v>23</v>
      </c>
      <c r="D19" s="5">
        <v>104.57</v>
      </c>
      <c r="E19" s="5" t="s">
        <v>9</v>
      </c>
    </row>
    <row r="20" spans="1:5" x14ac:dyDescent="0.2">
      <c r="A20" s="3">
        <v>45658</v>
      </c>
      <c r="B20" s="4" t="s">
        <v>30</v>
      </c>
      <c r="C20" s="4"/>
      <c r="D20" s="5">
        <v>650</v>
      </c>
      <c r="E20" s="5" t="s">
        <v>6</v>
      </c>
    </row>
    <row r="21" spans="1:5" x14ac:dyDescent="0.2">
      <c r="A21" s="3">
        <v>45659</v>
      </c>
      <c r="B21" s="4" t="s">
        <v>31</v>
      </c>
      <c r="C21" s="4" t="s">
        <v>32</v>
      </c>
      <c r="D21" s="5">
        <v>990.3</v>
      </c>
      <c r="E21" s="5" t="s">
        <v>6</v>
      </c>
    </row>
    <row r="22" spans="1:5" x14ac:dyDescent="0.2">
      <c r="A22" s="3">
        <v>45659</v>
      </c>
      <c r="B22" s="4" t="s">
        <v>33</v>
      </c>
      <c r="C22" s="4" t="s">
        <v>34</v>
      </c>
      <c r="D22" s="5">
        <v>600</v>
      </c>
      <c r="E22" s="5" t="s">
        <v>6</v>
      </c>
    </row>
    <row r="23" spans="1:5" x14ac:dyDescent="0.2">
      <c r="A23" s="3">
        <v>45659</v>
      </c>
      <c r="B23" s="4" t="s">
        <v>35</v>
      </c>
      <c r="C23" s="4" t="s">
        <v>36</v>
      </c>
      <c r="D23" s="5">
        <f>180+40+20+20+20</f>
        <v>280</v>
      </c>
      <c r="E23" s="5" t="s">
        <v>6</v>
      </c>
    </row>
    <row r="24" spans="1:5" x14ac:dyDescent="0.2">
      <c r="A24" s="3">
        <v>45659</v>
      </c>
      <c r="B24" s="4" t="s">
        <v>37</v>
      </c>
      <c r="C24" s="4"/>
      <c r="D24" s="5">
        <v>150</v>
      </c>
      <c r="E24" s="5" t="s">
        <v>6</v>
      </c>
    </row>
    <row r="25" spans="1:5" x14ac:dyDescent="0.2">
      <c r="A25" s="3">
        <v>45660</v>
      </c>
      <c r="B25" s="4" t="s">
        <v>38</v>
      </c>
      <c r="C25" s="4" t="s">
        <v>39</v>
      </c>
      <c r="D25" s="5">
        <v>46.02</v>
      </c>
      <c r="E25" s="5" t="s">
        <v>6</v>
      </c>
    </row>
    <row r="26" spans="1:5" x14ac:dyDescent="0.2">
      <c r="A26" s="3">
        <v>45660</v>
      </c>
      <c r="B26" s="4" t="s">
        <v>40</v>
      </c>
      <c r="C26" s="4" t="s">
        <v>23</v>
      </c>
      <c r="D26" s="5">
        <v>2037.97</v>
      </c>
      <c r="E26" s="5" t="s">
        <v>9</v>
      </c>
    </row>
    <row r="27" spans="1:5" x14ac:dyDescent="0.2">
      <c r="A27" s="3">
        <v>45660</v>
      </c>
      <c r="B27" s="4" t="s">
        <v>41</v>
      </c>
      <c r="C27" s="4" t="s">
        <v>23</v>
      </c>
      <c r="D27" s="5">
        <v>120.99</v>
      </c>
      <c r="E27" s="5" t="s">
        <v>9</v>
      </c>
    </row>
    <row r="28" spans="1:5" x14ac:dyDescent="0.2">
      <c r="A28" s="3">
        <v>45662</v>
      </c>
      <c r="B28" s="4" t="s">
        <v>42</v>
      </c>
      <c r="C28" s="4" t="s">
        <v>32</v>
      </c>
      <c r="D28" s="5">
        <v>222.02</v>
      </c>
      <c r="E28" s="5" t="s">
        <v>6</v>
      </c>
    </row>
    <row r="29" spans="1:5" x14ac:dyDescent="0.2">
      <c r="A29" s="3">
        <v>45663</v>
      </c>
      <c r="B29" s="4" t="s">
        <v>43</v>
      </c>
      <c r="C29" s="4" t="s">
        <v>44</v>
      </c>
      <c r="D29" s="5">
        <f>89.99*2</f>
        <v>179.98</v>
      </c>
      <c r="E29" s="5" t="s">
        <v>9</v>
      </c>
    </row>
    <row r="30" spans="1:5" x14ac:dyDescent="0.2">
      <c r="A30" s="3">
        <v>45663</v>
      </c>
      <c r="B30" s="4" t="s">
        <v>45</v>
      </c>
      <c r="C30" s="4" t="s">
        <v>27</v>
      </c>
      <c r="D30" s="5">
        <v>1134.9000000000001</v>
      </c>
      <c r="E30" s="5" t="s">
        <v>9</v>
      </c>
    </row>
    <row r="31" spans="1:5" x14ac:dyDescent="0.2">
      <c r="A31" s="3">
        <v>45663</v>
      </c>
      <c r="B31" s="4" t="s">
        <v>46</v>
      </c>
      <c r="C31" s="4"/>
      <c r="D31" s="5">
        <v>1800</v>
      </c>
      <c r="E31" s="5" t="s">
        <v>6</v>
      </c>
    </row>
    <row r="32" spans="1:5" x14ac:dyDescent="0.2">
      <c r="A32" s="3">
        <v>45663</v>
      </c>
      <c r="B32" s="4" t="s">
        <v>47</v>
      </c>
      <c r="C32" s="4" t="s">
        <v>48</v>
      </c>
      <c r="D32" s="5">
        <v>63.74</v>
      </c>
      <c r="E32" s="5" t="s">
        <v>6</v>
      </c>
    </row>
    <row r="33" spans="1:5" x14ac:dyDescent="0.2">
      <c r="A33" s="3">
        <v>45664</v>
      </c>
      <c r="B33" s="4" t="s">
        <v>49</v>
      </c>
      <c r="C33" s="4" t="s">
        <v>50</v>
      </c>
      <c r="D33" s="5">
        <v>1716.98</v>
      </c>
      <c r="E33" s="5" t="s">
        <v>9</v>
      </c>
    </row>
    <row r="34" spans="1:5" x14ac:dyDescent="0.2">
      <c r="A34" s="3">
        <v>45665</v>
      </c>
      <c r="B34" s="4" t="s">
        <v>51</v>
      </c>
      <c r="C34" s="4" t="s">
        <v>52</v>
      </c>
      <c r="D34" s="5">
        <f>263.47*2</f>
        <v>526.94000000000005</v>
      </c>
      <c r="E34" s="5" t="s">
        <v>6</v>
      </c>
    </row>
    <row r="35" spans="1:5" x14ac:dyDescent="0.2">
      <c r="A35" s="3">
        <v>45668</v>
      </c>
      <c r="B35" s="4" t="s">
        <v>53</v>
      </c>
      <c r="C35" s="4" t="s">
        <v>11</v>
      </c>
      <c r="D35" s="5">
        <v>64.900000000000006</v>
      </c>
      <c r="E35" s="5" t="s">
        <v>6</v>
      </c>
    </row>
    <row r="36" spans="1:5" x14ac:dyDescent="0.2">
      <c r="A36" s="3">
        <v>45668</v>
      </c>
      <c r="B36" s="4" t="s">
        <v>54</v>
      </c>
      <c r="C36" s="4" t="s">
        <v>55</v>
      </c>
      <c r="D36" s="5">
        <v>95.61</v>
      </c>
      <c r="E36" s="5" t="s">
        <v>6</v>
      </c>
    </row>
    <row r="37" spans="1:5" x14ac:dyDescent="0.2">
      <c r="A37" s="3">
        <v>45668</v>
      </c>
      <c r="B37" s="4" t="s">
        <v>37</v>
      </c>
      <c r="C37" s="4"/>
      <c r="D37" s="5">
        <v>100</v>
      </c>
      <c r="E37" s="5" t="s">
        <v>6</v>
      </c>
    </row>
    <row r="38" spans="1:5" x14ac:dyDescent="0.2">
      <c r="A38" s="3">
        <v>45672</v>
      </c>
      <c r="B38" s="4" t="s">
        <v>56</v>
      </c>
      <c r="C38" s="4" t="s">
        <v>11</v>
      </c>
      <c r="D38" s="5">
        <v>784.39</v>
      </c>
      <c r="E38" s="5" t="s">
        <v>6</v>
      </c>
    </row>
    <row r="39" spans="1:5" x14ac:dyDescent="0.2">
      <c r="A39" s="3">
        <v>45672</v>
      </c>
      <c r="B39" s="4" t="s">
        <v>57</v>
      </c>
      <c r="C39" s="4" t="s">
        <v>23</v>
      </c>
      <c r="D39" s="5">
        <v>77.900000000000006</v>
      </c>
      <c r="E39" s="5" t="s">
        <v>9</v>
      </c>
    </row>
    <row r="40" spans="1:5" x14ac:dyDescent="0.2">
      <c r="A40" s="3">
        <v>45672</v>
      </c>
      <c r="B40" s="4" t="s">
        <v>58</v>
      </c>
      <c r="C40" s="4" t="s">
        <v>59</v>
      </c>
      <c r="D40" s="5">
        <v>2000</v>
      </c>
      <c r="E40" s="5" t="s">
        <v>6</v>
      </c>
    </row>
    <row r="41" spans="1:5" x14ac:dyDescent="0.2">
      <c r="A41" s="3">
        <v>45673</v>
      </c>
      <c r="B41" s="4" t="s">
        <v>60</v>
      </c>
      <c r="C41" s="4" t="s">
        <v>61</v>
      </c>
      <c r="D41" s="5">
        <v>700</v>
      </c>
      <c r="E41" s="5" t="s">
        <v>9</v>
      </c>
    </row>
    <row r="42" spans="1:5" x14ac:dyDescent="0.2">
      <c r="A42" s="3">
        <v>45675</v>
      </c>
      <c r="B42" s="4" t="s">
        <v>62</v>
      </c>
      <c r="C42" s="4" t="s">
        <v>63</v>
      </c>
      <c r="D42" s="5">
        <v>700</v>
      </c>
      <c r="E42" s="5" t="s">
        <v>6</v>
      </c>
    </row>
    <row r="43" spans="1:5" x14ac:dyDescent="0.2">
      <c r="A43" s="3">
        <v>45687</v>
      </c>
      <c r="B43" s="4" t="s">
        <v>16</v>
      </c>
      <c r="C43" s="4" t="s">
        <v>17</v>
      </c>
      <c r="D43" s="5">
        <v>898</v>
      </c>
      <c r="E43" s="5" t="s">
        <v>9</v>
      </c>
    </row>
    <row r="44" spans="1:5" x14ac:dyDescent="0.2">
      <c r="A44" s="3">
        <v>45688</v>
      </c>
      <c r="B44" s="4" t="s">
        <v>64</v>
      </c>
      <c r="C44" s="4" t="s">
        <v>65</v>
      </c>
      <c r="D44" s="5">
        <v>139</v>
      </c>
      <c r="E44" s="5" t="s">
        <v>6</v>
      </c>
    </row>
    <row r="45" spans="1:5" x14ac:dyDescent="0.2">
      <c r="A45" s="3">
        <v>45702</v>
      </c>
      <c r="B45" s="4" t="s">
        <v>58</v>
      </c>
      <c r="C45" s="4" t="s">
        <v>59</v>
      </c>
      <c r="D45" s="5">
        <v>2000</v>
      </c>
      <c r="E45" s="5" t="s">
        <v>6</v>
      </c>
    </row>
    <row r="46" spans="1:5" x14ac:dyDescent="0.2">
      <c r="A46" s="3">
        <v>45718</v>
      </c>
      <c r="B46" s="4" t="s">
        <v>66</v>
      </c>
      <c r="C46" s="4" t="s">
        <v>5</v>
      </c>
      <c r="D46" s="5">
        <f>1.69*12</f>
        <v>20.28</v>
      </c>
      <c r="E46" s="5" t="s">
        <v>6</v>
      </c>
    </row>
    <row r="47" spans="1:5" x14ac:dyDescent="0.2">
      <c r="A47" s="3">
        <v>45726</v>
      </c>
      <c r="B47" s="4" t="s">
        <v>67</v>
      </c>
      <c r="C47" s="4" t="s">
        <v>68</v>
      </c>
      <c r="D47" s="5">
        <v>99.56</v>
      </c>
      <c r="E47" s="5" t="s">
        <v>6</v>
      </c>
    </row>
    <row r="48" spans="1:5" x14ac:dyDescent="0.2">
      <c r="A48" s="3">
        <v>45731</v>
      </c>
      <c r="B48" s="4" t="s">
        <v>58</v>
      </c>
      <c r="C48" s="4" t="s">
        <v>59</v>
      </c>
      <c r="D48" s="5">
        <v>2000</v>
      </c>
      <c r="E48" s="5" t="s">
        <v>6</v>
      </c>
    </row>
    <row r="49" spans="1:5" x14ac:dyDescent="0.2">
      <c r="A49" s="3">
        <v>45739</v>
      </c>
      <c r="B49" s="4" t="s">
        <v>37</v>
      </c>
      <c r="C49" s="4"/>
      <c r="D49" s="5">
        <v>100</v>
      </c>
      <c r="E49" s="5" t="s">
        <v>6</v>
      </c>
    </row>
    <row r="50" spans="1:5" x14ac:dyDescent="0.2">
      <c r="A50" s="3">
        <v>45744</v>
      </c>
      <c r="B50" s="4" t="s">
        <v>69</v>
      </c>
      <c r="C50" s="4" t="s">
        <v>32</v>
      </c>
      <c r="D50" s="5">
        <v>196.18</v>
      </c>
      <c r="E50" s="5" t="s">
        <v>6</v>
      </c>
    </row>
    <row r="51" spans="1:5" x14ac:dyDescent="0.2">
      <c r="A51" s="3">
        <v>45744</v>
      </c>
      <c r="B51" s="4" t="s">
        <v>70</v>
      </c>
      <c r="C51" s="4" t="s">
        <v>36</v>
      </c>
      <c r="D51" s="5">
        <v>323.44</v>
      </c>
      <c r="E51" s="5" t="s">
        <v>6</v>
      </c>
    </row>
    <row r="52" spans="1:5" x14ac:dyDescent="0.2">
      <c r="A52" s="3">
        <v>45746</v>
      </c>
      <c r="B52" s="4" t="s">
        <v>71</v>
      </c>
      <c r="C52" s="4"/>
      <c r="D52" s="5">
        <v>150</v>
      </c>
      <c r="E52" s="5" t="s">
        <v>6</v>
      </c>
    </row>
    <row r="53" spans="1:5" x14ac:dyDescent="0.2">
      <c r="A53" s="3">
        <v>45746</v>
      </c>
      <c r="B53" s="4" t="s">
        <v>72</v>
      </c>
      <c r="C53" s="4"/>
      <c r="D53" s="5">
        <v>100</v>
      </c>
      <c r="E53" s="5" t="s">
        <v>6</v>
      </c>
    </row>
    <row r="54" spans="1:5" x14ac:dyDescent="0.2">
      <c r="A54" s="3">
        <v>45752</v>
      </c>
      <c r="B54" s="4" t="s">
        <v>73</v>
      </c>
      <c r="C54" s="4" t="s">
        <v>74</v>
      </c>
      <c r="D54" s="5">
        <v>56.06</v>
      </c>
      <c r="E54" s="5" t="s">
        <v>6</v>
      </c>
    </row>
    <row r="55" spans="1:5" x14ac:dyDescent="0.2">
      <c r="A55" s="3">
        <v>45752</v>
      </c>
      <c r="B55" s="4" t="s">
        <v>75</v>
      </c>
      <c r="C55" s="4" t="s">
        <v>76</v>
      </c>
      <c r="D55" s="5">
        <v>80</v>
      </c>
      <c r="E55" s="5" t="s">
        <v>6</v>
      </c>
    </row>
    <row r="56" spans="1:5" x14ac:dyDescent="0.2">
      <c r="A56" s="3">
        <v>45761</v>
      </c>
      <c r="B56" s="4" t="s">
        <v>48</v>
      </c>
      <c r="C56" s="4" t="s">
        <v>67</v>
      </c>
      <c r="D56" s="5">
        <v>78.150000000000006</v>
      </c>
      <c r="E56" s="5" t="s">
        <v>6</v>
      </c>
    </row>
    <row r="57" spans="1:5" x14ac:dyDescent="0.2">
      <c r="A57" s="3">
        <v>45762</v>
      </c>
      <c r="B57" s="4" t="s">
        <v>58</v>
      </c>
      <c r="C57" s="4" t="s">
        <v>59</v>
      </c>
      <c r="D57" s="5">
        <v>2000</v>
      </c>
      <c r="E57" s="5" t="s">
        <v>6</v>
      </c>
    </row>
    <row r="58" spans="1:5" x14ac:dyDescent="0.2">
      <c r="A58" s="3">
        <v>45771</v>
      </c>
      <c r="B58" s="4" t="s">
        <v>77</v>
      </c>
      <c r="C58" s="4" t="s">
        <v>78</v>
      </c>
      <c r="D58" s="5">
        <v>125</v>
      </c>
      <c r="E58" s="5" t="s">
        <v>6</v>
      </c>
    </row>
    <row r="59" spans="1:5" x14ac:dyDescent="0.2">
      <c r="A59" s="3">
        <v>45792</v>
      </c>
      <c r="B59" s="4" t="s">
        <v>58</v>
      </c>
      <c r="C59" s="4" t="s">
        <v>59</v>
      </c>
      <c r="D59" s="5">
        <v>2000</v>
      </c>
      <c r="E59" s="5" t="s">
        <v>6</v>
      </c>
    </row>
    <row r="60" spans="1:5" x14ac:dyDescent="0.2">
      <c r="A60" s="3">
        <v>45803</v>
      </c>
      <c r="B60" s="4" t="s">
        <v>79</v>
      </c>
      <c r="C60" s="4" t="s">
        <v>68</v>
      </c>
      <c r="D60" s="5">
        <v>58.44</v>
      </c>
      <c r="E60" s="5" t="s">
        <v>6</v>
      </c>
    </row>
    <row r="61" spans="1:5" x14ac:dyDescent="0.2">
      <c r="A61" s="3">
        <v>45813</v>
      </c>
      <c r="B61" s="4" t="s">
        <v>18</v>
      </c>
      <c r="C61" s="4" t="s">
        <v>5</v>
      </c>
      <c r="D61" s="5">
        <v>129.9</v>
      </c>
      <c r="E61" s="5" t="s">
        <v>6</v>
      </c>
    </row>
    <row r="62" spans="1:5" x14ac:dyDescent="0.2">
      <c r="A62" s="3">
        <v>45864</v>
      </c>
      <c r="B62" s="4" t="s">
        <v>80</v>
      </c>
      <c r="C62" s="4" t="s">
        <v>68</v>
      </c>
      <c r="D62" s="5">
        <v>98.94</v>
      </c>
      <c r="E62" s="5" t="s">
        <v>6</v>
      </c>
    </row>
    <row r="63" spans="1:5" x14ac:dyDescent="0.2">
      <c r="A63" s="3">
        <v>45886</v>
      </c>
      <c r="B63" s="4" t="s">
        <v>80</v>
      </c>
      <c r="C63" s="4" t="s">
        <v>5</v>
      </c>
      <c r="D63" s="5">
        <v>155.49</v>
      </c>
      <c r="E63" s="5" t="s">
        <v>6</v>
      </c>
    </row>
    <row r="64" spans="1:5" x14ac:dyDescent="0.2">
      <c r="A64" s="3">
        <v>45823</v>
      </c>
      <c r="B64" s="4" t="s">
        <v>58</v>
      </c>
      <c r="C64" s="4" t="s">
        <v>59</v>
      </c>
      <c r="D64" s="5">
        <v>2000</v>
      </c>
      <c r="E64" s="5" t="s">
        <v>6</v>
      </c>
    </row>
    <row r="65" spans="1:5" x14ac:dyDescent="0.2">
      <c r="A65" s="3">
        <v>45853</v>
      </c>
      <c r="B65" s="4" t="s">
        <v>58</v>
      </c>
      <c r="C65" s="4" t="s">
        <v>59</v>
      </c>
      <c r="D65" s="5">
        <v>2000</v>
      </c>
      <c r="E65" s="5" t="s">
        <v>6</v>
      </c>
    </row>
    <row r="66" spans="1:5" x14ac:dyDescent="0.2">
      <c r="A66" s="3">
        <v>45884</v>
      </c>
      <c r="B66" s="4" t="s">
        <v>58</v>
      </c>
      <c r="C66" s="4" t="s">
        <v>59</v>
      </c>
      <c r="D66" s="5">
        <v>2000</v>
      </c>
      <c r="E66" s="5" t="s">
        <v>6</v>
      </c>
    </row>
    <row r="67" spans="1:5" x14ac:dyDescent="0.2">
      <c r="A67" s="3">
        <v>45915</v>
      </c>
      <c r="B67" s="4" t="s">
        <v>58</v>
      </c>
      <c r="C67" s="4" t="s">
        <v>59</v>
      </c>
      <c r="D67" s="5">
        <v>2000</v>
      </c>
      <c r="E67" s="5" t="s">
        <v>6</v>
      </c>
    </row>
    <row r="68" spans="1:5" x14ac:dyDescent="0.2">
      <c r="A68" s="3">
        <v>45944</v>
      </c>
      <c r="B68" s="4" t="s">
        <v>58</v>
      </c>
      <c r="C68" s="4" t="s">
        <v>59</v>
      </c>
      <c r="D68" s="5">
        <v>2000</v>
      </c>
      <c r="E68" s="5" t="s">
        <v>6</v>
      </c>
    </row>
    <row r="69" spans="1:5" x14ac:dyDescent="0.2">
      <c r="A69" s="3">
        <v>45937</v>
      </c>
      <c r="B69" s="4" t="s">
        <v>81</v>
      </c>
      <c r="C69" s="4" t="s">
        <v>82</v>
      </c>
      <c r="D69" s="5">
        <v>762.45</v>
      </c>
      <c r="E69" s="5" t="s">
        <v>6</v>
      </c>
    </row>
    <row r="70" spans="1:5" x14ac:dyDescent="0.2">
      <c r="A70" s="3">
        <v>45946</v>
      </c>
      <c r="B70" s="4" t="s">
        <v>80</v>
      </c>
      <c r="C70" s="4" t="s">
        <v>68</v>
      </c>
      <c r="D70" s="5">
        <v>77.400000000000006</v>
      </c>
      <c r="E70" s="5" t="s">
        <v>6</v>
      </c>
    </row>
    <row r="71" spans="1:5" x14ac:dyDescent="0.2">
      <c r="A71" s="3">
        <v>45766</v>
      </c>
      <c r="B71" s="4" t="s">
        <v>37</v>
      </c>
      <c r="C71" s="4"/>
      <c r="D71" s="5">
        <v>80</v>
      </c>
      <c r="E71" s="5" t="s">
        <v>6</v>
      </c>
    </row>
    <row r="72" spans="1:5" x14ac:dyDescent="0.2">
      <c r="A72" s="3">
        <v>45801</v>
      </c>
      <c r="B72" s="4" t="s">
        <v>37</v>
      </c>
      <c r="C72" s="4"/>
      <c r="D72" s="5">
        <v>80</v>
      </c>
      <c r="E72" s="5" t="s">
        <v>6</v>
      </c>
    </row>
    <row r="73" spans="1:5" x14ac:dyDescent="0.2">
      <c r="A73" s="3">
        <v>45829</v>
      </c>
      <c r="B73" s="4" t="s">
        <v>37</v>
      </c>
      <c r="C73" s="4"/>
      <c r="D73" s="5">
        <v>80</v>
      </c>
      <c r="E73" s="5" t="s">
        <v>6</v>
      </c>
    </row>
    <row r="74" spans="1:5" x14ac:dyDescent="0.2">
      <c r="A74" s="3">
        <v>45864</v>
      </c>
      <c r="B74" s="4" t="s">
        <v>37</v>
      </c>
      <c r="C74" s="4"/>
      <c r="D74" s="5">
        <v>80</v>
      </c>
      <c r="E74" s="5" t="s">
        <v>6</v>
      </c>
    </row>
    <row r="75" spans="1:5" x14ac:dyDescent="0.2">
      <c r="A75" s="3">
        <v>45885</v>
      </c>
      <c r="B75" s="4" t="s">
        <v>37</v>
      </c>
      <c r="C75" s="4"/>
      <c r="D75" s="5">
        <v>80</v>
      </c>
      <c r="E75" s="5" t="s">
        <v>6</v>
      </c>
    </row>
    <row r="76" spans="1:5" x14ac:dyDescent="0.2">
      <c r="A76" s="3">
        <v>45920</v>
      </c>
      <c r="B76" s="4" t="s">
        <v>37</v>
      </c>
      <c r="C76" s="4"/>
      <c r="D76" s="5">
        <v>80</v>
      </c>
      <c r="E76" s="5" t="s">
        <v>6</v>
      </c>
    </row>
    <row r="77" spans="1:5" x14ac:dyDescent="0.2">
      <c r="A77" s="3">
        <v>45846</v>
      </c>
      <c r="B77" s="4" t="s">
        <v>83</v>
      </c>
      <c r="C77" s="4" t="s">
        <v>84</v>
      </c>
      <c r="D77" s="5">
        <v>40.630000000000003</v>
      </c>
      <c r="E77" s="5" t="s">
        <v>6</v>
      </c>
    </row>
    <row r="78" spans="1:5" x14ac:dyDescent="0.2">
      <c r="A78" s="3">
        <v>45877</v>
      </c>
      <c r="B78" s="4" t="s">
        <v>83</v>
      </c>
      <c r="C78" s="4" t="s">
        <v>84</v>
      </c>
      <c r="D78" s="5">
        <v>89.99</v>
      </c>
      <c r="E78" s="5" t="s">
        <v>6</v>
      </c>
    </row>
    <row r="79" spans="1:5" x14ac:dyDescent="0.2">
      <c r="A79" s="3">
        <v>45908</v>
      </c>
      <c r="B79" s="4" t="s">
        <v>83</v>
      </c>
      <c r="C79" s="4" t="s">
        <v>84</v>
      </c>
      <c r="D79" s="5">
        <v>92.1</v>
      </c>
      <c r="E79" s="5" t="s">
        <v>6</v>
      </c>
    </row>
    <row r="80" spans="1:5" x14ac:dyDescent="0.2">
      <c r="A80" s="3">
        <v>45938</v>
      </c>
      <c r="B80" s="4" t="s">
        <v>83</v>
      </c>
      <c r="C80" s="4" t="s">
        <v>84</v>
      </c>
      <c r="D80" s="5">
        <v>89.99</v>
      </c>
      <c r="E80" s="5" t="s">
        <v>6</v>
      </c>
    </row>
    <row r="81" spans="1:5" x14ac:dyDescent="0.2">
      <c r="A81" s="3">
        <v>45966</v>
      </c>
      <c r="B81" s="4" t="s">
        <v>83</v>
      </c>
      <c r="C81" s="4" t="s">
        <v>84</v>
      </c>
      <c r="D81" s="5">
        <v>94.01</v>
      </c>
      <c r="E81" s="5" t="s">
        <v>6</v>
      </c>
    </row>
  </sheetData>
  <dataValidations count="1">
    <dataValidation type="list" allowBlank="1" showInputMessage="1" showErrorMessage="1" sqref="E2:E81" xr:uid="{2A2E0FDC-2C01-8649-B181-A7EA898C5F66}">
      <formula1>$H$1:$I$1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Rodrigues</dc:creator>
  <cp:lastModifiedBy>Cristiano Rodrigues</cp:lastModifiedBy>
  <dcterms:created xsi:type="dcterms:W3CDTF">2025-12-29T14:58:04Z</dcterms:created>
  <dcterms:modified xsi:type="dcterms:W3CDTF">2025-12-29T15:01:25Z</dcterms:modified>
</cp:coreProperties>
</file>